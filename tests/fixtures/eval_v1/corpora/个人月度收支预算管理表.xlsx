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ep for work\Projects\文件测试集\"/>
    </mc:Choice>
  </mc:AlternateContent>
  <bookViews>
    <workbookView windowWidth="25600" windowHeight="12080" activeTab="1"/>
  </bookViews>
  <sheets>
    <sheet name="收支明细" sheetId="2" r:id="rId1"/>
    <sheet name="月度预算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<sst xmlns="http://schemas.openxmlformats.org/spreadsheetml/2006/main" count="53" uniqueCount="36">
  <si>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t>日期</t>
  </si>
  <si>
    <t>类型</t>
  </si>
  <si>
    <t>分类</t>
  </si>
  <si>
    <t>说明</t>
  </si>
  <si>
    <t>金额(元)</t>
  </si>
  <si>
    <t>汇总</t>
  </si>
  <si>
    <t/>
  </si>
  <si>
    <t>支出</t>
  </si>
  <si>
    <t>餐饮</t>
  </si>
  <si>
    <t>日常饮食</t>
  </si>
  <si>
    <t>收入合计</t>
  </si>
  <si>
    <t>交通</t>
  </si>
  <si>
    <t>地铁与打车</t>
  </si>
  <si>
    <t>支出合计</t>
  </si>
  <si>
    <t>居住</t>
  </si>
  <si>
    <t>房租水电</t>
  </si>
  <si>
    <t>本月结余</t>
  </si>
  <si>
    <t>购物</t>
  </si>
  <si>
    <t>日用品</t>
  </si>
  <si>
    <t>娱乐</t>
  </si>
  <si>
    <t>电影游戏</t>
  </si>
  <si>
    <t>医疗</t>
  </si>
  <si>
    <t>年度体检</t>
  </si>
  <si>
    <t>教育</t>
  </si>
  <si>
    <t>线上课程</t>
  </si>
  <si>
    <t>其他</t>
  </si>
  <si>
    <t>人情往来</t>
  </si>
  <si>
    <t>收入</t>
  </si>
  <si>
    <t>工资</t>
  </si>
  <si>
    <t>8月工资</t>
  </si>
  <si>
    <t>副业</t>
  </si>
  <si>
    <t>设计稿酬</t>
  </si>
  <si>
    <t>预算(元)</t>
  </si>
  <si>
    <t>实际支出(元)</t>
  </si>
  <si>
    <t>结余(元)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</si>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</sst>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2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F7B0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49" fontId="1" fillId="3" borderId="0" xfId="0" applyNumberFormat="1" applyFont="1" applyFill="1" applyAlignment="1">
      <alignment vertical="center"/>
    </xf>
    <xf numFmtId="4" fontId="1" fillId="3" borderId="0" xfId="0" applyNumberFormat="1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预算 vs 实际支出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月度预算!$B$1</c:f>
              <c:strCache>
                <c:ptCount val="1"/>
                <c:pt idx="0">
                  <c:v>预算(元)</c:v>
                </c:pt>
              </c:strCache>
            </c:strRef>
          </c:tx>
          <c:spPr>
            <a:solidFill>
              <a:srgbClr val="5383F1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月度预算!$A$2:$A$9</c:f>
              <c:strCache>
                <c:ptCount val="8"/>
                <c:pt idx="0" c:formatCode="@">
                  <c:v>餐饮</c:v>
                </c:pt>
                <c:pt idx="1" c:formatCode="@">
                  <c:v>交通</c:v>
                </c:pt>
                <c:pt idx="2" c:formatCode="@">
                  <c:v>居住</c:v>
                </c:pt>
                <c:pt idx="3" c:formatCode="@">
                  <c:v>购物</c:v>
                </c:pt>
                <c:pt idx="4" c:formatCode="@">
                  <c:v>娱乐</c:v>
                </c:pt>
                <c:pt idx="5" c:formatCode="@">
                  <c:v>医疗</c:v>
                </c:pt>
                <c:pt idx="6" c:formatCode="@">
                  <c:v>教育</c:v>
                </c:pt>
                <c:pt idx="7" c:formatCode="@">
                  <c:v>其他</c:v>
                </c:pt>
              </c:strCache>
            </c:strRef>
          </c:cat>
          <c:val>
            <c:numRef>
              <c:f>月度预算!$B$2:$B$9</c:f>
              <c:numCache>
                <c:formatCode>#,##0.00</c:formatCode>
                <c:ptCount val="8"/>
                <c:pt idx="0">
                  <c:v>2000</c:v>
                </c:pt>
                <c:pt idx="1">
                  <c:v>500</c:v>
                </c:pt>
                <c:pt idx="2">
                  <c:v>3200</c:v>
                </c:pt>
                <c:pt idx="3">
                  <c:v>800</c:v>
                </c:pt>
                <c:pt idx="4">
                  <c:v>500</c:v>
                </c:pt>
                <c:pt idx="5">
                  <c:v>500</c:v>
                </c:pt>
                <c:pt idx="6">
                  <c:v>600</c:v>
                </c:pt>
                <c:pt idx="7">
                  <c:v>400</c:v>
                </c:pt>
              </c:numCache>
            </c:numRef>
          </c:val>
        </c:ser>
        <c:ser>
          <c:idx val="1"/>
          <c:order val="1"/>
          <c:tx>
            <c:strRef>
              <c:f>月度预算!$C$1</c:f>
              <c:strCache>
                <c:ptCount val="1"/>
                <c:pt idx="0">
                  <c:v>实际支出(元)</c:v>
                </c:pt>
              </c:strCache>
            </c:strRef>
          </c:tx>
          <c:spPr>
            <a:solidFill>
              <a:srgbClr val="55C6EF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月度预算!$A$2:$A$9</c:f>
              <c:strCache>
                <c:ptCount val="8"/>
                <c:pt idx="0" c:formatCode="@">
                  <c:v>餐饮</c:v>
                </c:pt>
                <c:pt idx="1" c:formatCode="@">
                  <c:v>交通</c:v>
                </c:pt>
                <c:pt idx="2" c:formatCode="@">
                  <c:v>居住</c:v>
                </c:pt>
                <c:pt idx="3" c:formatCode="@">
                  <c:v>购物</c:v>
                </c:pt>
                <c:pt idx="4" c:formatCode="@">
                  <c:v>娱乐</c:v>
                </c:pt>
                <c:pt idx="5" c:formatCode="@">
                  <c:v>医疗</c:v>
                </c:pt>
                <c:pt idx="6" c:formatCode="@">
                  <c:v>教育</c:v>
                </c:pt>
                <c:pt idx="7" c:formatCode="@">
                  <c:v>其他</c:v>
                </c:pt>
              </c:strCache>
            </c:strRef>
          </c:cat>
          <c:val>
            <c:numRef>
              <c:f>月度预算!$C$2:$C$9</c:f>
              <c:numCache>
                <c:formatCode>#,##0.00</c:formatCode>
                <c:ptCount val="8"/>
                <c:pt idx="0">
                  <c:v>1800</c:v>
                </c:pt>
                <c:pt idx="1">
                  <c:v>450</c:v>
                </c:pt>
                <c:pt idx="2">
                  <c:v>3200</c:v>
                </c:pt>
                <c:pt idx="3">
                  <c:v>600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54001152"/>
        <c:axId val="753999904"/>
      </c:barChart>
      <c:catAx>
        <c:axId val="75400115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0"/>
              <a:lstStyle/>
              <a:p>
                <a:pPr>
                  <a:defRPr lang="zh-CN" sz="1000" b="0" i="0" u="none" strike="noStrike" kern="1200" spc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 b="1" i="0" kern="0" spc="0" baseline="0"/>
                  <a:t>分类</a:t>
                </a:r>
                <a:endParaRPr lang="en-US" altLang="en-US" b="1" i="0" kern="0" spc="0" baseline="0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9525" cap="flat" cmpd="sng" algn="ctr">
            <a:solidFill>
              <a:srgbClr val="51565D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0"/>
              <a:lstStyle/>
              <a:p>
                <a:pPr>
                  <a:defRPr lang="zh-CN" sz="1000" b="0" i="0" u="none" strike="noStrike" kern="1200" spc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US" b="1" i="0" kern="0" spc="0" baseline="0"/>
                  <a:t>金额(元)</a:t>
                </a:r>
                <a:endParaRPr lang="en-US" altLang="en-US" b="1" i="0" kern="0" spc="0" baseline="0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rgbClr val="51565D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7b9ba0-398d-4117-976d-58e888fc4574}"/>
      </c:ext>
    </c:extLst>
  </c:chart>
  <c:spPr>
    <a:solidFill>
      <a:schemeClr val="bg1"/>
    </a:solidFill>
    <a:ln w="9525" cap="flat" cmpd="sng" algn="ctr">
      <a:solidFill>
        <a:srgbClr val="DEE0E3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支出分类占比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月度预算!$C$1</c:f>
              <c:strCache>
                <c:ptCount val="1"/>
                <c:pt idx="0">
                  <c:v>实际支出(元)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rgbClr val="5383F1"/>
              </a:solidFill>
            </c:spPr>
          </c:dPt>
          <c:dPt>
            <c:idx val="1"/>
            <c:bubble3D val="0"/>
            <c:spPr>
              <a:solidFill>
                <a:srgbClr val="55C6EF"/>
              </a:solidFill>
            </c:spPr>
          </c:dPt>
          <c:dPt>
            <c:idx val="2"/>
            <c:bubble3D val="0"/>
            <c:spPr>
              <a:solidFill>
                <a:srgbClr val="915EEA"/>
              </a:solidFill>
            </c:spPr>
          </c:dPt>
          <c:dPt>
            <c:idx val="3"/>
            <c:bubble3D val="0"/>
            <c:spPr>
              <a:solidFill>
                <a:srgbClr val="EECB59"/>
              </a:solidFill>
            </c:spPr>
          </c:dPt>
          <c:dPt>
            <c:idx val="4"/>
            <c:bubble3D val="0"/>
            <c:spPr>
              <a:solidFill>
                <a:srgbClr val="EB6B67"/>
              </a:solidFill>
            </c:spPr>
          </c:dPt>
          <c:dPt>
            <c:idx val="5"/>
            <c:bubble3D val="0"/>
            <c:spPr>
              <a:solidFill>
                <a:srgbClr val="F2A144"/>
              </a:solidFill>
            </c:spPr>
          </c:dPt>
          <c:dPt>
            <c:idx val="6"/>
            <c:bubble3D val="0"/>
            <c:spPr>
              <a:solidFill>
                <a:srgbClr val="82A3F0"/>
              </a:solidFill>
            </c:spPr>
          </c:dPt>
          <c:dPt>
            <c:idx val="7"/>
            <c:bubble3D val="0"/>
            <c:spPr>
              <a:solidFill>
                <a:srgbClr val="7ED1EF"/>
              </a:solidFill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0"/>
                <a:lstStyle/>
                <a:p>
                  <a:pPr>
                    <a:defRPr lang="zh-CN" sz="900" b="1" i="0" u="none" strike="noStrike" kern="1200" spc="0" baseline="0">
                      <a:solidFill>
                        <a:srgbClr val="5383F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0"/>
                <a:lstStyle/>
                <a:p>
                  <a:pPr>
                    <a:defRPr lang="zh-CN" sz="900" b="1" i="0" u="none" strike="noStrike" kern="1200" spc="0" baseline="0">
                      <a:solidFill>
                        <a:srgbClr val="55C6EF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0"/>
                <a:lstStyle/>
                <a:p>
                  <a:pPr>
                    <a:defRPr lang="zh-CN" sz="900" b="1" i="0" u="none" strike="noStrike" kern="1200" spc="0" baseline="0">
                      <a:solidFill>
                        <a:srgbClr val="915EEA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0"/>
                <a:lstStyle/>
                <a:p>
                  <a:pPr>
                    <a:defRPr lang="zh-CN" sz="900" b="1" i="0" u="none" strike="noStrike" kern="1200" spc="0" baseline="0">
                      <a:solidFill>
                        <a:srgbClr val="EECB59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0"/>
                <a:lstStyle/>
                <a:p>
                  <a:pPr>
                    <a:defRPr lang="zh-CN" sz="900" b="1" i="0" u="none" strike="noStrike" kern="1200" spc="0" baseline="0">
                      <a:solidFill>
                        <a:srgbClr val="EB6B67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0"/>
                <a:lstStyle/>
                <a:p>
                  <a:pPr>
                    <a:defRPr lang="zh-CN" sz="900" b="1" i="0" u="none" strike="noStrike" kern="1200" spc="0" baseline="0">
                      <a:solidFill>
                        <a:srgbClr val="F2A14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0"/>
                <a:lstStyle/>
                <a:p>
                  <a:pPr>
                    <a:defRPr lang="zh-CN" sz="900" b="1" i="0" u="none" strike="noStrike" kern="1200" spc="0" baseline="0">
                      <a:solidFill>
                        <a:srgbClr val="82A3F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0"/>
                <a:lstStyle/>
                <a:p>
                  <a:pPr>
                    <a:defRPr lang="zh-CN" sz="900" b="1" i="0" u="none" strike="noStrike" kern="1200" spc="0" baseline="0">
                      <a:solidFill>
                        <a:srgbClr val="7ED1EF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line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0"/>
              <a:lstStyle/>
              <a:p>
                <a:pPr>
                  <a:defRPr lang="zh-CN" sz="900" b="1" i="0" u="none" strike="noStrike" kern="1200" spc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月度预算!$A$2:$A$9</c:f>
              <c:strCache>
                <c:ptCount val="8"/>
                <c:pt idx="0" c:formatCode="@">
                  <c:v>餐饮</c:v>
                </c:pt>
                <c:pt idx="1" c:formatCode="@">
                  <c:v>交通</c:v>
                </c:pt>
                <c:pt idx="2" c:formatCode="@">
                  <c:v>居住</c:v>
                </c:pt>
                <c:pt idx="3" c:formatCode="@">
                  <c:v>购物</c:v>
                </c:pt>
                <c:pt idx="4" c:formatCode="@">
                  <c:v>娱乐</c:v>
                </c:pt>
                <c:pt idx="5" c:formatCode="@">
                  <c:v>医疗</c:v>
                </c:pt>
                <c:pt idx="6" c:formatCode="@">
                  <c:v>教育</c:v>
                </c:pt>
                <c:pt idx="7" c:formatCode="@">
                  <c:v>其他</c:v>
                </c:pt>
              </c:strCache>
            </c:strRef>
          </c:cat>
          <c:val>
            <c:numRef>
              <c:f>月度预算!$C$2:$C$9</c:f>
              <c:numCache>
                <c:formatCode>#,##0.00</c:formatCode>
                <c:ptCount val="8"/>
                <c:pt idx="0">
                  <c:v>1800</c:v>
                </c:pt>
                <c:pt idx="1">
                  <c:v>450</c:v>
                </c:pt>
                <c:pt idx="2">
                  <c:v>3200</c:v>
                </c:pt>
                <c:pt idx="3">
                  <c:v>600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350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65298c-7b3b-4e84-8ee1-6146220c9a3a}"/>
      </c:ext>
    </c:extLst>
  </c:chart>
  <c:spPr>
    <a:solidFill>
      <a:schemeClr val="bg1"/>
    </a:solidFill>
    <a:ln w="9525" cap="flat" cmpd="sng" algn="ctr">
      <a:solidFill>
        <a:srgbClr val="DEE0E3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47625</xdr:colOff>
      <xdr:row>23</xdr:row>
      <xdr:rowOff>152400</xdr:rowOff>
    </xdr:to>
    <xdr:graphicFrame>
      <xdr:nvGraphicFramePr>
        <xdr:cNvPr id="3" name="Chart 3"/>
        <xdr:cNvGraphicFramePr/>
      </xdr:nvGraphicFramePr>
      <xdr:xfrm>
        <a:off x="0" y="2165350"/>
        <a:ext cx="477139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11</xdr:col>
      <xdr:colOff>0</xdr:colOff>
      <xdr:row>11</xdr:row>
      <xdr:rowOff>0</xdr:rowOff>
    </xdr:from>
    <xdr:to>
      <xdr:col>15</xdr:col>
      <xdr:colOff>952500</xdr:colOff>
      <xdr:row>23</xdr:row>
      <xdr:rowOff>152400</xdr:rowOff>
    </xdr:to>
    <xdr:graphicFrame>
      <xdr:nvGraphicFramePr>
        <xdr:cNvPr id="4" name="Chart 4"/>
        <xdr:cNvGraphicFramePr/>
      </xdr:nvGraphicFramePr>
      <xdr:xfrm>
        <a:off x="9181465" y="2165350"/>
        <a:ext cx="371475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.5" outlineLevelCol="7"/>
  <cols>
    <col min="1" max="1" width="11.7769230769231" customWidth="1"/>
    <col min="2" max="3" width="7.26923076923077" customWidth="1"/>
    <col min="4" max="4" width="14.0307692307692" customWidth="1"/>
    <col min="5" max="5" width="10.6461538461538" customWidth="1"/>
  </cols>
  <sheetData>
    <row r="1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G1" s="6" t="s">
        <v>5</v>
      </c>
      <c r="H1" t="s">
        <v>6</v>
      </c>
    </row>
    <row r="2" spans="1:8">
      <c r="A2" s="7">
        <v>46237</v>
      </c>
      <c r="B2" s="2" t="s">
        <v>7</v>
      </c>
      <c r="C2" s="2" t="s">
        <v>8</v>
      </c>
      <c r="D2" s="2" t="s">
        <v>9</v>
      </c>
      <c r="E2" s="3">
        <v>1800</v>
      </c>
      <c r="G2" t="s">
        <v>10</v>
      </c>
      <c r="H2" s="3">
        <f>SUMIF(B2:B11,"收入",E2:E11)</f>
        <v>14000</v>
      </c>
    </row>
    <row r="3" spans="1:8">
      <c r="A3" s="7">
        <v>46240</v>
      </c>
      <c r="B3" s="2" t="s">
        <v>7</v>
      </c>
      <c r="C3" s="2" t="s">
        <v>11</v>
      </c>
      <c r="D3" s="2" t="s">
        <v>12</v>
      </c>
      <c r="E3" s="3">
        <v>450</v>
      </c>
      <c r="G3" t="s">
        <v>13</v>
      </c>
      <c r="H3" s="3">
        <f>SUMIF(B2:B11,"支出",E2:E11)</f>
        <v>7600</v>
      </c>
    </row>
    <row r="4" spans="1:8">
      <c r="A4" s="7">
        <v>46242</v>
      </c>
      <c r="B4" s="2" t="s">
        <v>7</v>
      </c>
      <c r="C4" s="2" t="s">
        <v>14</v>
      </c>
      <c r="D4" s="2" t="s">
        <v>15</v>
      </c>
      <c r="E4" s="3">
        <v>3200</v>
      </c>
      <c r="G4" t="s">
        <v>16</v>
      </c>
      <c r="H4" s="8">
        <f>H2-H3</f>
        <v>6400</v>
      </c>
    </row>
    <row r="5" spans="1:8">
      <c r="A5" s="7">
        <v>46244</v>
      </c>
      <c r="B5" s="2" t="s">
        <v>7</v>
      </c>
      <c r="C5" s="2" t="s">
        <v>17</v>
      </c>
      <c r="D5" s="2" t="s">
        <v>18</v>
      </c>
      <c r="E5" s="3">
        <v>600</v>
      </c>
    </row>
    <row r="6" spans="1:8">
      <c r="A6" s="7">
        <v>46246</v>
      </c>
      <c r="B6" s="2" t="s">
        <v>7</v>
      </c>
      <c r="C6" s="2" t="s">
        <v>19</v>
      </c>
      <c r="D6" s="2" t="s">
        <v>20</v>
      </c>
      <c r="E6" s="3">
        <v>300</v>
      </c>
    </row>
    <row r="7" spans="1:8">
      <c r="A7" s="7">
        <v>46249</v>
      </c>
      <c r="B7" s="2" t="s">
        <v>7</v>
      </c>
      <c r="C7" s="2" t="s">
        <v>21</v>
      </c>
      <c r="D7" s="2" t="s">
        <v>22</v>
      </c>
      <c r="E7" s="3">
        <v>400</v>
      </c>
    </row>
    <row r="8" spans="1:8">
      <c r="A8" s="7">
        <v>46252</v>
      </c>
      <c r="B8" s="2" t="s">
        <v>7</v>
      </c>
      <c r="C8" s="2" t="s">
        <v>23</v>
      </c>
      <c r="D8" s="2" t="s">
        <v>24</v>
      </c>
      <c r="E8" s="3">
        <v>500</v>
      </c>
    </row>
    <row r="9" spans="1:8">
      <c r="A9" s="7">
        <v>46256</v>
      </c>
      <c r="B9" s="2" t="s">
        <v>7</v>
      </c>
      <c r="C9" s="2" t="s">
        <v>25</v>
      </c>
      <c r="D9" s="2" t="s">
        <v>26</v>
      </c>
      <c r="E9" s="3">
        <v>350</v>
      </c>
    </row>
    <row r="10" spans="1:8">
      <c r="A10" s="7">
        <v>46239</v>
      </c>
      <c r="B10" s="2" t="s">
        <v>27</v>
      </c>
      <c r="C10" s="2" t="s">
        <v>28</v>
      </c>
      <c r="D10" s="2" t="s">
        <v>29</v>
      </c>
      <c r="E10" s="3">
        <v>12000</v>
      </c>
    </row>
    <row r="11" spans="1:8">
      <c r="A11" s="7">
        <v>46239</v>
      </c>
      <c r="B11" s="2" t="s">
        <v>27</v>
      </c>
      <c r="C11" s="2" t="s">
        <v>30</v>
      </c>
      <c r="D11" s="2" t="s">
        <v>31</v>
      </c>
      <c r="E11" s="3">
        <v>2000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.5" outlineLevelCol="3"/>
  <cols>
    <col min="1" max="1" width="9.52307692307692" customWidth="1"/>
    <col min="2" max="4" width="12.9" customWidth="1"/>
  </cols>
  <sheetData>
    <row r="1" spans="1:4">
      <c r="A1" s="1" t="s">
        <v>2</v>
      </c>
      <c r="B1" s="1" t="s">
        <v>32</v>
      </c>
      <c r="C1" s="1" t="s">
        <v>33</v>
      </c>
      <c r="D1" s="1" t="s">
        <v>34</v>
      </c>
    </row>
    <row r="2" spans="1:4">
      <c r="A2" s="2" t="s">
        <v>8</v>
      </c>
      <c r="B2" s="3">
        <v>2000</v>
      </c>
      <c r="C2" s="3">
        <f>SUMIFS(收支明细!$E$2:$E$11,收支明细!$B$2:$B$11,"支出",收支明细!$C$2:$C$11,A2)</f>
        <v>1800</v>
      </c>
      <c r="D2" s="3">
        <f t="shared" ref="D2:D9" si="0">B2-C2</f>
        <v>200</v>
      </c>
    </row>
    <row r="3" spans="1:4">
      <c r="A3" s="2" t="s">
        <v>11</v>
      </c>
      <c r="B3" s="3">
        <v>500</v>
      </c>
      <c r="C3" s="3">
        <f>SUMIFS(收支明细!$E$2:$E$11,收支明细!$B$2:$B$11,"支出",收支明细!$C$2:$C$11,A3)</f>
        <v>450</v>
      </c>
      <c r="D3" s="3">
        <f t="shared" si="0"/>
        <v>50</v>
      </c>
    </row>
    <row r="4" spans="1:4">
      <c r="A4" s="2" t="s">
        <v>14</v>
      </c>
      <c r="B4" s="3">
        <v>3200</v>
      </c>
      <c r="C4" s="3">
        <f>SUMIFS(收支明细!$E$2:$E$11,收支明细!$B$2:$B$11,"支出",收支明细!$C$2:$C$11,A4)</f>
        <v>3200</v>
      </c>
      <c r="D4" s="3">
        <f t="shared" si="0"/>
        <v>0</v>
      </c>
    </row>
    <row r="5" spans="1:4">
      <c r="A5" s="2" t="s">
        <v>17</v>
      </c>
      <c r="B5" s="3">
        <v>800</v>
      </c>
      <c r="C5" s="3">
        <f>SUMIFS(收支明细!$E$2:$E$11,收支明细!$B$2:$B$11,"支出",收支明细!$C$2:$C$11,A5)</f>
        <v>600</v>
      </c>
      <c r="D5" s="3">
        <f t="shared" si="0"/>
        <v>200</v>
      </c>
    </row>
    <row r="6" spans="1:4">
      <c r="A6" s="2" t="s">
        <v>19</v>
      </c>
      <c r="B6" s="3">
        <v>500</v>
      </c>
      <c r="C6" s="3">
        <f>SUMIFS(收支明细!$E$2:$E$11,收支明细!$B$2:$B$11,"支出",收支明细!$C$2:$C$11,A6)</f>
        <v>300</v>
      </c>
      <c r="D6" s="3">
        <f t="shared" si="0"/>
        <v>200</v>
      </c>
    </row>
    <row r="7" spans="1:4">
      <c r="A7" s="2" t="s">
        <v>21</v>
      </c>
      <c r="B7" s="3">
        <v>500</v>
      </c>
      <c r="C7" s="3">
        <f>SUMIFS(收支明细!$E$2:$E$11,收支明细!$B$2:$B$11,"支出",收支明细!$C$2:$C$11,A7)</f>
        <v>400</v>
      </c>
      <c r="D7" s="3">
        <f t="shared" si="0"/>
        <v>100</v>
      </c>
    </row>
    <row r="8" spans="1:4">
      <c r="A8" s="2" t="s">
        <v>23</v>
      </c>
      <c r="B8" s="3">
        <v>600</v>
      </c>
      <c r="C8" s="3">
        <f>SUMIFS(收支明细!$E$2:$E$11,收支明细!$B$2:$B$11,"支出",收支明细!$C$2:$C$11,A8)</f>
        <v>500</v>
      </c>
      <c r="D8" s="3">
        <f t="shared" si="0"/>
        <v>100</v>
      </c>
    </row>
    <row r="9" spans="1:4">
      <c r="A9" s="2" t="s">
        <v>25</v>
      </c>
      <c r="B9" s="3">
        <v>400</v>
      </c>
      <c r="C9" s="3">
        <f>SUMIFS(收支明细!$E$2:$E$11,收支明细!$B$2:$B$11,"支出",收支明细!$C$2:$C$11,A9)</f>
        <v>350</v>
      </c>
      <c r="D9" s="3">
        <f t="shared" si="0"/>
        <v>50</v>
      </c>
    </row>
    <row r="10" spans="1:4">
      <c r="A10" s="4" t="s">
        <v>35</v>
      </c>
      <c r="B10" s="5">
        <f>SUM(B2:B9)</f>
        <v>8500</v>
      </c>
      <c r="C10" s="5">
        <f>SUM(C2:C9)</f>
        <v>7600</v>
      </c>
      <c r="D10" s="5">
        <f>SUM(D2:D9)</f>
        <v>900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收支明细</vt:lpstr>
      <vt:lpstr>月度预算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顾惠源</cp:lastModifiedBy>
  <dcterms:created xsi:type="dcterms:W3CDTF">2026-09-05T07:30:52Z</dcterms:created>
  <dcterms:modified xsi:type="dcterms:W3CDTF">2026-09-05T07:31:07Z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{"Label":"1","ContentProducer":"001191110102MACQD9K64010000","ProduceID":"7681904633052859358","ReservedCode1":"","ContentPropagator":"","PropagateID":"","ReservedCode2":""}</vt:lpwstr>
  </property>
  <property fmtid="{D5CDD505-2E9C-101B-9397-08002B2CF9AE}" pid="3" name="ICV">
    <vt:lpwstr>5BD1B87F2438486B8713A272E25DAD21_12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